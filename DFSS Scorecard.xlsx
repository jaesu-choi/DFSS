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L11" i="1"/>
  <c r="L12"/>
  <c r="L13"/>
  <c r="L14"/>
  <c r="L8"/>
  <c r="L9"/>
  <c r="L10"/>
  <c r="J9"/>
  <c r="I11"/>
  <c r="I12"/>
  <c r="J12"/>
  <c r="K12"/>
  <c r="I13"/>
  <c r="J13"/>
  <c r="K13"/>
  <c r="I14"/>
  <c r="J14"/>
  <c r="K14"/>
  <c r="J10"/>
  <c r="J11"/>
  <c r="K9"/>
  <c r="K10"/>
  <c r="K11"/>
  <c r="I9"/>
  <c r="I10"/>
  <c r="K8"/>
  <c r="K15" s="1"/>
  <c r="K16" s="1"/>
  <c r="J8"/>
  <c r="I8"/>
</calcChain>
</file>

<file path=xl/sharedStrings.xml><?xml version="1.0" encoding="utf-8"?>
<sst xmlns="http://schemas.openxmlformats.org/spreadsheetml/2006/main" count="39" uniqueCount="36">
  <si>
    <t>DFSS Scorecard</t>
    <phoneticPr fontId="2" type="noConversion"/>
  </si>
  <si>
    <t>Project 이름</t>
    <phoneticPr fontId="2" type="noConversion"/>
  </si>
  <si>
    <t>Apteryx</t>
    <phoneticPr fontId="2" type="noConversion"/>
  </si>
  <si>
    <t>Cpk 목표수준</t>
    <phoneticPr fontId="2" type="noConversion"/>
  </si>
  <si>
    <t>ID#</t>
    <phoneticPr fontId="2" type="noConversion"/>
  </si>
  <si>
    <t>품질특성(CTQ)</t>
    <phoneticPr fontId="2" type="noConversion"/>
  </si>
  <si>
    <t>Specification 출처</t>
    <phoneticPr fontId="2" type="noConversion"/>
  </si>
  <si>
    <t>LSL</t>
    <phoneticPr fontId="2" type="noConversion"/>
  </si>
  <si>
    <t>USL</t>
    <phoneticPr fontId="2" type="noConversion"/>
  </si>
  <si>
    <t>측정단위</t>
    <phoneticPr fontId="2" type="noConversion"/>
  </si>
  <si>
    <t>평균(ST)</t>
    <phoneticPr fontId="2" type="noConversion"/>
  </si>
  <si>
    <t>표준편차(ST)</t>
    <phoneticPr fontId="2" type="noConversion"/>
  </si>
  <si>
    <t>Cp</t>
    <phoneticPr fontId="2" type="noConversion"/>
  </si>
  <si>
    <t>Cpk</t>
    <phoneticPr fontId="2" type="noConversion"/>
  </si>
  <si>
    <t>DPM (LT)</t>
    <phoneticPr fontId="2" type="noConversion"/>
  </si>
  <si>
    <t>Zst</t>
    <phoneticPr fontId="2" type="noConversion"/>
  </si>
  <si>
    <t>Flow accuracy</t>
    <phoneticPr fontId="2" type="noConversion"/>
  </si>
  <si>
    <t>System spec</t>
    <phoneticPr fontId="2" type="noConversion"/>
  </si>
  <si>
    <t>% full scale</t>
    <phoneticPr fontId="2" type="noConversion"/>
  </si>
  <si>
    <t>Response time</t>
    <phoneticPr fontId="2" type="noConversion"/>
  </si>
  <si>
    <t>msec</t>
    <phoneticPr fontId="2" type="noConversion"/>
  </si>
  <si>
    <t>Input circuit accuracy</t>
    <phoneticPr fontId="2" type="noConversion"/>
  </si>
  <si>
    <t>Driver spec</t>
    <phoneticPr fontId="2" type="noConversion"/>
  </si>
  <si>
    <t>LSB</t>
    <phoneticPr fontId="2" type="noConversion"/>
  </si>
  <si>
    <t>Feedback circuit accuracy</t>
    <phoneticPr fontId="2" type="noConversion"/>
  </si>
  <si>
    <t>Reference voltage</t>
    <phoneticPr fontId="2" type="noConversion"/>
  </si>
  <si>
    <t>Supplier data</t>
    <phoneticPr fontId="2" type="noConversion"/>
  </si>
  <si>
    <t>V</t>
    <phoneticPr fontId="2" type="noConversion"/>
  </si>
  <si>
    <t>Calibration Process</t>
    <phoneticPr fontId="2" type="noConversion"/>
  </si>
  <si>
    <t>Process spec</t>
    <phoneticPr fontId="2" type="noConversion"/>
  </si>
  <si>
    <t>degree</t>
    <phoneticPr fontId="2" type="noConversion"/>
  </si>
  <si>
    <t>Port profile</t>
    <phoneticPr fontId="2" type="noConversion"/>
  </si>
  <si>
    <t>Port drawing</t>
    <phoneticPr fontId="2" type="noConversion"/>
  </si>
  <si>
    <t>mm</t>
    <phoneticPr fontId="2" type="noConversion"/>
  </si>
  <si>
    <t>Total DPM</t>
    <phoneticPr fontId="2" type="noConversion"/>
  </si>
  <si>
    <t>시스템 Zst</t>
    <phoneticPr fontId="2" type="noConversion"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</si>
</sst>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0.00_ "/>
    <numFmt numFmtId="177" formatCode="_-* #,##0.0_-;\-* #,##0.0_-;_-* &quot;-&quot;_-;_-@_-"/>
    <numFmt numFmtId="181" formatCode="#,##0.0_ 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41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181" fontId="6" fillId="0" borderId="1" xfId="1" applyNumberFormat="1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rgb="FF9C0006"/>
      </font>
    </dxf>
  </dxfs>
  <tableStyles count="0" defaultTableStyle="TableStyleMedium9" defaultPivotStyle="PivotStyleLight16"/>
  <colors>
    <mruColors>
      <color rgb="FF5DFC2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selection activeCell="P9" sqref="P9"/>
    </sheetView>
  </sheetViews>
  <sheetFormatPr defaultRowHeight="16.5"/>
  <cols>
    <col min="1" max="1" width="4.875" customWidth="1"/>
    <col min="2" max="2" width="21.625" bestFit="1" customWidth="1"/>
    <col min="3" max="3" width="15.875" bestFit="1" customWidth="1"/>
    <col min="4" max="5" width="6.75" bestFit="1" customWidth="1"/>
    <col min="6" max="6" width="10" bestFit="1" customWidth="1"/>
    <col min="7" max="7" width="7.875" bestFit="1" customWidth="1"/>
    <col min="8" max="8" width="11.25" bestFit="1" customWidth="1"/>
    <col min="9" max="9" width="9.25" customWidth="1"/>
    <col min="10" max="10" width="11.125" customWidth="1"/>
    <col min="11" max="11" width="9.125" bestFit="1" customWidth="1"/>
    <col min="12" max="12" width="9.375" customWidth="1"/>
  </cols>
  <sheetData>
    <row r="1" spans="1:13" ht="26.25">
      <c r="A1" s="1" t="s">
        <v>0</v>
      </c>
    </row>
    <row r="3" spans="1:13">
      <c r="A3" s="3"/>
      <c r="B3" s="4" t="s">
        <v>1</v>
      </c>
      <c r="C3" s="5" t="s">
        <v>2</v>
      </c>
      <c r="D3" s="3"/>
      <c r="E3" s="3"/>
      <c r="F3" s="3"/>
      <c r="G3" s="3"/>
      <c r="H3" s="3"/>
      <c r="I3" s="3"/>
      <c r="J3" s="3"/>
      <c r="K3" s="3"/>
      <c r="L3" s="3"/>
    </row>
    <row r="4" spans="1:13">
      <c r="A4" s="3"/>
      <c r="B4" s="6" t="s">
        <v>3</v>
      </c>
      <c r="C4" s="5">
        <v>1.67</v>
      </c>
      <c r="D4" s="3"/>
      <c r="E4" s="3"/>
      <c r="F4" s="3"/>
      <c r="G4" s="3"/>
      <c r="H4" s="3"/>
      <c r="I4" s="3"/>
      <c r="J4" s="3"/>
      <c r="K4" s="3"/>
      <c r="L4" s="3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ht="27.75" customHeight="1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2"/>
    </row>
    <row r="8" spans="1:13" ht="22.5" customHeight="1">
      <c r="A8" s="5">
        <v>1</v>
      </c>
      <c r="B8" s="5" t="s">
        <v>16</v>
      </c>
      <c r="C8" s="5" t="s">
        <v>17</v>
      </c>
      <c r="D8" s="5">
        <v>-1</v>
      </c>
      <c r="E8" s="5">
        <v>1</v>
      </c>
      <c r="F8" s="5" t="s">
        <v>18</v>
      </c>
      <c r="G8" s="5">
        <v>5.1999999999999998E-2</v>
      </c>
      <c r="H8" s="5">
        <v>0.21</v>
      </c>
      <c r="I8" s="8">
        <f>IF(AND(ISNUMBER(D8),ISNUMBER(E8),ISNUMBER(H8)),(E8-D8)/(6*ABS(H8)),"")</f>
        <v>1.5873015873015872</v>
      </c>
      <c r="J8" s="8">
        <f>IF(AND(ISNUMBER(G8),ISNUMBER(H8)),IF(ISNUMBER(D8),IF(ISNUMBER(E8),MIN(E8-G8,G8-D8)/(3*ABS(H8)),(G8-D8)/(3*ABS(H8))),IF(ISNUMBER(E8),(E8-G8)/(3*ABS(H8)),"")),"")</f>
        <v>1.5047619047619047</v>
      </c>
      <c r="K8" s="9">
        <f>IF(AND(ISNUMBER(G8),ISNUMBER(H8)),IF(ISNUMBER(D8),IF(ISNUMBER(E8),1000000*(NORMDIST(D8,G8+IF(E8-G8&lt;G8-D8,1.5,-1.5)*H8,H8,1)+NORMDIST(-E8,-G8-IF(E8-G8&lt;G8-D8,1.5,-1.5)*H8,H8,1)),1000000*NORMDIST(D8,G8-1.5*H8,H8,1)),IF(ISNUMBER(E8),1000000*NORMDIST(-E8,-G8-1.5*H8,H8,1),0)),"")</f>
        <v>1287.9255474349206</v>
      </c>
      <c r="L8" s="12">
        <f t="shared" ref="L8:L9" si="0">-NORMSINV(IF(AND(ISNUMBER(G8),ISNUMBER(H8)),IF(ISNUMBER(D8),IF(ISNUMBER(E8),NORMDIST(D8,G8,H8,1)+NORMDIST(-E8,-G8,H8,1),NORMDIST(D8,G8,H8,1)),IF(ISNUMBER(E8),NORMDIST(-E8,-G8,H8,1),0)),""))</f>
        <v>4.496790173175949</v>
      </c>
      <c r="M8" s="2"/>
    </row>
    <row r="9" spans="1:13" ht="22.5" customHeight="1">
      <c r="A9" s="5">
        <v>2</v>
      </c>
      <c r="B9" s="5" t="s">
        <v>19</v>
      </c>
      <c r="C9" s="5" t="s">
        <v>17</v>
      </c>
      <c r="D9" s="5">
        <v>64</v>
      </c>
      <c r="E9" s="5">
        <v>95</v>
      </c>
      <c r="F9" s="5" t="s">
        <v>20</v>
      </c>
      <c r="G9" s="5">
        <v>84</v>
      </c>
      <c r="H9" s="5">
        <v>1.9</v>
      </c>
      <c r="I9" s="8">
        <f t="shared" ref="I9:I11" si="1">IF(AND(ISNUMBER(D9),ISNUMBER(E9),ISNUMBER(H9)),(E9-D9)/(6*ABS(H9)),"")</f>
        <v>2.7192982456140355</v>
      </c>
      <c r="J9" s="8">
        <f>IF(AND(ISNUMBER(G9),ISNUMBER(H9)),IF(ISNUMBER(D9),IF(ISNUMBER(E9),MIN(E9-G9,G9-D9)/(3*ABS(H9)),(G9-D9)/(3*ABS(H9))),IF(ISNUMBER(E9),(E9-G9)/(3*ABS(H9)),"")),"")</f>
        <v>1.929824561403509</v>
      </c>
      <c r="K9" s="9">
        <f t="shared" ref="K9:K11" si="2">IF(AND(ISNUMBER(G9),ISNUMBER(H9)),IF(ISNUMBER(D9),IF(ISNUMBER(E9),1000000*(NORMDIST(D9,G9+IF(E9-G9&lt;G9-D9,1.5,-1.5)*H9,H9,1)+NORMDIST(-E9,-G9-IF(E9-G9&lt;G9-D9,1.5,-1.5)*H9,H9,1)),1000000*NORMDIST(D9,G9-1.5*H9,H9,1)),IF(ISNUMBER(E9),1000000*NORMDIST(-E9,-G9-1.5*H9,H9,1),0)),"")</f>
        <v>8.9548515871396006</v>
      </c>
      <c r="L9" s="12">
        <f t="shared" si="0"/>
        <v>5.7894736842105274</v>
      </c>
      <c r="M9" s="2"/>
    </row>
    <row r="10" spans="1:13" ht="22.5" customHeight="1">
      <c r="A10" s="5">
        <v>3</v>
      </c>
      <c r="B10" s="5" t="s">
        <v>21</v>
      </c>
      <c r="C10" s="5" t="s">
        <v>22</v>
      </c>
      <c r="D10" s="5">
        <v>-8</v>
      </c>
      <c r="E10" s="5">
        <v>8</v>
      </c>
      <c r="F10" s="5" t="s">
        <v>23</v>
      </c>
      <c r="G10" s="5">
        <v>-0.2</v>
      </c>
      <c r="H10" s="5">
        <v>2.2000000000000002</v>
      </c>
      <c r="I10" s="8">
        <f t="shared" si="1"/>
        <v>1.2121212121212119</v>
      </c>
      <c r="J10" s="8">
        <f t="shared" ref="J10:J11" si="3">IF(AND(ISNUMBER(G10),ISNUMBER(H10)),IF(ISNUMBER(D10),IF(ISNUMBER(E10),MIN(E10-G10,G10-D10)/(3*ABS(H10)),(G10-D10)/(3*ABS(H10))),IF(ISNUMBER(E10),(E10-G10)/(3*ABS(H10)),"")),"")</f>
        <v>1.1818181818181817</v>
      </c>
      <c r="K10" s="9">
        <f t="shared" si="2"/>
        <v>20405.119072635214</v>
      </c>
      <c r="L10" s="12">
        <f>-NORMSINV(IF(AND(ISNUMBER(G10),ISNUMBER(H10)),IF(ISNUMBER(D10),IF(ISNUMBER(E10),NORMDIST(D10,G10,H10,1)+NORMDIST(-E10,-G10,H10,1),NORMDIST(D10,G10,H10,1)),IF(ISNUMBER(E10),NORMDIST(-E10,-G10,H10,1),0)),""))</f>
        <v>3.4382441434494311</v>
      </c>
      <c r="M10" s="2"/>
    </row>
    <row r="11" spans="1:13" ht="22.5" customHeight="1">
      <c r="A11" s="5">
        <v>4</v>
      </c>
      <c r="B11" s="5" t="s">
        <v>24</v>
      </c>
      <c r="C11" s="5" t="s">
        <v>22</v>
      </c>
      <c r="D11" s="5">
        <v>-8</v>
      </c>
      <c r="E11" s="5">
        <v>8</v>
      </c>
      <c r="F11" s="5" t="s">
        <v>23</v>
      </c>
      <c r="G11" s="5">
        <v>0</v>
      </c>
      <c r="H11" s="5">
        <v>1.2</v>
      </c>
      <c r="I11" s="8">
        <f t="shared" si="1"/>
        <v>2.2222222222222223</v>
      </c>
      <c r="J11" s="8">
        <f t="shared" si="3"/>
        <v>2.2222222222222223</v>
      </c>
      <c r="K11" s="9">
        <f t="shared" si="2"/>
        <v>0.11915285347817887</v>
      </c>
      <c r="L11" s="12">
        <f t="shared" ref="L11:L14" si="4">-NORMSINV(IF(AND(ISNUMBER(G11),ISNUMBER(H11)),IF(ISNUMBER(D11),IF(ISNUMBER(E11),NORMDIST(D11,G11,H11,1)+NORMDIST(-E11,-G11,H11,1),NORMDIST(D11,G11,H11,1)),IF(ISNUMBER(E11),NORMDIST(-E11,-G11,H11,1),0)),""))</f>
        <v>6.564135206317113</v>
      </c>
      <c r="M11" s="2"/>
    </row>
    <row r="12" spans="1:13" ht="22.5" customHeight="1">
      <c r="A12" s="5">
        <v>5</v>
      </c>
      <c r="B12" s="5" t="s">
        <v>25</v>
      </c>
      <c r="C12" s="5" t="s">
        <v>26</v>
      </c>
      <c r="D12" s="5">
        <v>2.4975000000000001</v>
      </c>
      <c r="E12" s="5">
        <v>2.5024999999999999</v>
      </c>
      <c r="F12" s="5" t="s">
        <v>27</v>
      </c>
      <c r="G12" s="5">
        <v>2.5004</v>
      </c>
      <c r="H12" s="5">
        <v>2.0000000000000001E-4</v>
      </c>
      <c r="I12" s="8">
        <f t="shared" ref="I12:I14" si="5">IF(AND(ISNUMBER(D12),ISNUMBER(E12),ISNUMBER(H12)),(E12-D12)/(6*ABS(H12)),"")</f>
        <v>4.1666666666665773</v>
      </c>
      <c r="J12" s="8">
        <f t="shared" ref="J12:J14" si="6">IF(AND(ISNUMBER(G12),ISNUMBER(H12)),IF(ISNUMBER(D12),IF(ISNUMBER(E12),MIN(E12-G12,G12-D12)/(3*ABS(H12)),(G12-D12)/(3*ABS(H12))),IF(ISNUMBER(E12),(E12-G12)/(3*ABS(H12)),"")),"")</f>
        <v>3.4999999999999845</v>
      </c>
      <c r="K12" s="9">
        <f t="shared" ref="K12:K14" si="7">IF(AND(ISNUMBER(G12),ISNUMBER(H12)),IF(ISNUMBER(D12),IF(ISNUMBER(E12),1000000*(NORMDIST(D12,G12+IF(E12-G12&lt;G12-D12,1.5,-1.5)*H12,H12,1)+NORMDIST(-E12,-G12-IF(E12-G12&lt;G12-D12,1.5,-1.5)*H12,H12,1)),1000000*NORMDIST(D12,G12-1.5*H12,H12,1)),IF(ISNUMBER(E12),1000000*NORMDIST(-E12,-G12-1.5*H12,H12,1),0)),"")</f>
        <v>1.1285884059640178E-13</v>
      </c>
      <c r="L12" s="12">
        <f t="shared" si="4"/>
        <v>10.499999999999954</v>
      </c>
    </row>
    <row r="13" spans="1:13" ht="22.5" customHeight="1">
      <c r="A13" s="5">
        <v>6</v>
      </c>
      <c r="B13" s="5" t="s">
        <v>28</v>
      </c>
      <c r="C13" s="5" t="s">
        <v>29</v>
      </c>
      <c r="D13" s="5">
        <v>-0.2</v>
      </c>
      <c r="E13" s="5">
        <v>0.2</v>
      </c>
      <c r="F13" s="5" t="s">
        <v>30</v>
      </c>
      <c r="G13" s="5">
        <v>-0.08</v>
      </c>
      <c r="H13" s="5">
        <v>3.5000000000000003E-2</v>
      </c>
      <c r="I13" s="8">
        <f t="shared" si="5"/>
        <v>1.9047619047619047</v>
      </c>
      <c r="J13" s="8">
        <f t="shared" si="6"/>
        <v>1.1428571428571428</v>
      </c>
      <c r="K13" s="9">
        <f t="shared" si="7"/>
        <v>26892.044431199301</v>
      </c>
      <c r="L13" s="12">
        <f t="shared" si="4"/>
        <v>3.4285714285714475</v>
      </c>
    </row>
    <row r="14" spans="1:13" ht="22.5" customHeight="1">
      <c r="A14" s="5">
        <v>7</v>
      </c>
      <c r="B14" s="5" t="s">
        <v>31</v>
      </c>
      <c r="C14" s="5" t="s">
        <v>32</v>
      </c>
      <c r="D14" s="5"/>
      <c r="E14" s="5">
        <v>0.03</v>
      </c>
      <c r="F14" s="5" t="s">
        <v>33</v>
      </c>
      <c r="G14" s="5">
        <v>3.0999999999999999E-3</v>
      </c>
      <c r="H14" s="5">
        <v>4.1999999999999997E-3</v>
      </c>
      <c r="I14" s="8" t="str">
        <f t="shared" si="5"/>
        <v/>
      </c>
      <c r="J14" s="8">
        <f t="shared" si="6"/>
        <v>2.1349206349206349</v>
      </c>
      <c r="K14" s="9">
        <f t="shared" si="7"/>
        <v>0.46770367778670163</v>
      </c>
      <c r="L14" s="12">
        <f t="shared" si="4"/>
        <v>6.4047619047619051</v>
      </c>
    </row>
    <row r="15" spans="1:13" ht="22.5" customHeight="1">
      <c r="A15" s="3"/>
      <c r="B15" s="3"/>
      <c r="C15" s="3"/>
      <c r="D15" s="3"/>
      <c r="E15" s="3"/>
      <c r="F15" s="3"/>
      <c r="G15" s="3"/>
      <c r="H15" s="3"/>
      <c r="I15" s="3"/>
      <c r="J15" s="7" t="s">
        <v>34</v>
      </c>
      <c r="K15" s="10">
        <f>SUM(K8:K14)</f>
        <v>48594.630759387837</v>
      </c>
      <c r="L15" s="10"/>
    </row>
    <row r="16" spans="1:13" ht="22.5" customHeight="1">
      <c r="A16" s="3"/>
      <c r="B16" s="3"/>
      <c r="C16" s="3"/>
      <c r="D16" s="3"/>
      <c r="E16" s="3"/>
      <c r="F16" s="3"/>
      <c r="G16" s="3"/>
      <c r="H16" s="3"/>
      <c r="I16" s="3"/>
      <c r="J16" s="7" t="s">
        <v>35</v>
      </c>
      <c r="K16" s="13">
        <f>-NORMSINV(K15/1000000)</f>
        <v>1.6586355111329505</v>
      </c>
      <c r="L16" s="11"/>
    </row>
  </sheetData>
  <phoneticPr fontId="2" type="noConversion"/>
  <conditionalFormatting sqref="H8:H14">
    <cfRule type="cellIs" dxfId="4" priority="5" operator="lessThan">
      <formula>0</formula>
    </cfRule>
  </conditionalFormatting>
  <conditionalFormatting sqref="J8:J14">
    <cfRule type="cellIs" dxfId="3" priority="3" operator="lessThan">
      <formula>$C$4</formula>
    </cfRule>
    <cfRule type="expression" dxfId="2" priority="4">
      <formula>(AND(J8&gt;=$C$4,NOT(J8="")))</formula>
    </cfRule>
  </conditionalFormatting>
  <conditionalFormatting sqref="J9:J14">
    <cfRule type="cellIs" dxfId="1" priority="1" operator="equal">
      <formula>(J9&lt;$C$4)</formula>
    </cfRule>
    <cfRule type="cellIs" dxfId="0" priority="2" operator="equal">
      <formula>(AND(J&gt;=$C$4,NOT(J9="")))</formula>
    </cfRule>
  </conditionalFormatting>
  <pageMargins left="0.31" right="0.28000000000000003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JSCHOI</dc:creator>
  <cp:lastModifiedBy>JSCHOI</cp:lastModifiedBy>
  <cp:lastPrinted>2014-11-16T14:47:24Z</cp:lastPrinted>
  <dcterms:created xsi:type="dcterms:W3CDTF">2014-10-21T03:08:46Z</dcterms:created>
  <dcterms:modified xsi:type="dcterms:W3CDTF">2014-11-16T15:06:41Z</dcterms:modified>
</cp:coreProperties>
</file>